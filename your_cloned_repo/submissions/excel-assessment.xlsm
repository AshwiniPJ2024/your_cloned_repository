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1" hidePivotFieldList="1"/>
  <bookViews>
    <workbookView xWindow="0" yWindow="495" windowWidth="24240" windowHeight="1374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18" l="1"/>
  <c r="F30" i="18"/>
  <c r="E30" i="18"/>
  <c r="C30" i="18"/>
  <c r="B30" i="18"/>
  <c r="F29" i="18"/>
  <c r="E29" i="18"/>
  <c r="D29" i="18"/>
  <c r="C29" i="18"/>
  <c r="B29" i="18"/>
  <c r="C28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25" i="18"/>
  <c r="E23" i="18"/>
  <c r="E27" i="18"/>
  <c r="E26" i="18"/>
  <c r="E24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3" i="18"/>
  <c r="C14" i="18"/>
  <c r="C15" i="18"/>
  <c r="C12" i="18"/>
  <c r="C11" i="18"/>
  <c r="C10" i="18"/>
  <c r="C9" i="18"/>
  <c r="C8" i="18"/>
  <c r="C7" i="18"/>
  <c r="C6" i="18"/>
  <c r="C22" i="19"/>
</calcChain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<sst xmlns="http://schemas.openxmlformats.org/spreadsheetml/2006/main" count="409" uniqueCount="185">
  <si>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</si>
  <si>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</si>
  <si>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</si>
  <si>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</si>
  <si>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</si>
  <si>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</si>
  <si>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</si>
  <si>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</si>
  <si>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</si>
  <si>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</si>
  <si>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</si>
  <si>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</si>
  <si>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</si>
  <si>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</si>
  <si>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</si>
  <si>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</si>
  <si>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</si>
  <si>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</si>
  <si>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</si>
  <si>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</si>
  <si>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</si>
  <si>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</si>
  <si>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</si>
  <si>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</si>
  <si>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</si>
  <si>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</si>
  <si>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</si>
  <si>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</si>
  <si>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</si>
  <si>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</si>
  <si>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</si>
  <si>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</si>
  <si>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</si>
  <si>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</si>
  <si>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</si>
  <si>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</si>
  <si>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</si>
  <si>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</si>
  <si>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</si>
  <si>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</si>
  <si>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</si>
  <si>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</si>
  <si>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</si>
  <si>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</si>
  <si>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</si>
  <si>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</si>
  <si>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</si>
  <si>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</si>
  <si>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</si>
  <si>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</si>
  <si>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</si>
  <si>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</si>
  <si>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</si>
  <si>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</si>
  <si>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</si>
  <si>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</si>
  <si>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</si>
  <si>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</si>
  <si>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</si>
  <si>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</si>
  <si>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</si>
  <si>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</si>
  <si>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</si>
  <si>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</si>
  <si>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</si>
  <si>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</si>
  <si>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</si>
  <si>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</si>
  <si>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</si>
  <si>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</si>
  <si>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</si>
  <si>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</si>
  <si>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</si>
  <si>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</si>
  <si>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</si>
  <si>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</si>
  <si>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</si>
  <si>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</si>
  <si>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</si>
  <si>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</si>
  <si>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</si>
  <si>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</si>
  <si>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</si>
  <si>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</si>
  <si>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</si>
  <si>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</si>
  <si>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</si>
  <si>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</si>
  <si>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</si>
  <si>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</si>
  <si>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</si>
  <si>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</si>
  <si>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</si>
  <si>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</si>
  <si>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</si>
  <si>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</si>
  <si>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</si>
  <si>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</si>
  <si>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</si>
  <si>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</si>
  <si>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</si>
  <si>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</si>
  <si>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</si>
  <si>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</si>
  <si>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</si>
  <si>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</si>
  <si>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</si>
  <si>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</si>
  <si>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</si>
  <si>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</si>
  <si>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</si>
  <si>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</si>
  <si>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</si>
  <si>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</si>
  <si>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</si>
  <si>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</si>
  <si>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</si>
  <si>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</si>
  <si>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</si>
  <si>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</si>
  <si>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</si>
  <si>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</si>
  <si>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</si>
  <si>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</si>
  <si>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</si>
  <si>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</si>
  <si>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</si>
  <si>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</si>
  <si>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</si>
  <si>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</si>
  <si>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</si>
  <si>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</si>
  <si>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</si>
  <si>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</si>
  <si>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</si>
  <si>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</si>
  <si>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</si>
  <si>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</si>
  <si>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</si>
  <si>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</si>
  <si>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</si>
  <si>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</si>
  <si>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</si>
  <si>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</si>
  <si>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</si>
  <si>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</si>
  <si>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</si>
  <si>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</si>
  <si>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</si>
  <si>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</si>
  <si>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</si>
  <si>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</si>
  <si>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</si>
  <si>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</si>
  <si>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</si>
  <si>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</si>
  <si>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</si>
  <si>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</si>
  <si>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</si>
  <si>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</si>
  <si>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</si>
  <si>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</si>
  <si>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</si>
  <si>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</si>
  <si>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</si>
  <si>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</si>
  <si>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</si>
  <si>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</si>
  <si>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</si>
  <si>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</si>
  <si>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</si>
  <si>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</si>
  <si>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</si>
  <si>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</si>
  <si>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</si>
  <si>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</si>
  <si>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</si>
  <si>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sumif(range, criteria,[sum_range])</t>
  </si>
  <si>
    <t>total=1473</t>
  </si>
  <si>
    <t>SUMIF(C12:C21, "&lt;&gt;#N/A", C12:C21) + COUNTIF(C12:C21, "#N/A") *20</t>
  </si>
  <si>
    <t>SUMIF(C12:C21, "&lt;&gt;#N/A", C12:C21) this part calculates the sum of sales which are not null values and "&lt;&gt;#N/A" this filters out cells contaning null values and COUNTIF(C12:C21, "#N/A") this counts the number of occurrence of null values in coloumn C and *20 it multiplies the count by 20to get the total value of replaced null values.</t>
  </si>
  <si>
    <t>vlookup(), index(), match()</t>
  </si>
  <si>
    <t>1) Map IDs to Names using VLOOKUP</t>
  </si>
  <si>
    <t>2)Retrieve distances using INDEX-MATCH</t>
  </si>
  <si>
    <t>3)Handle missing values and review the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</si>
</sst>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4" fontId="2" fillId="0" borderId="0" xfId="0" applyNumberFormat="1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B05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A33" sqref="A33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J1" zoomScaleNormal="100" workbookViewId="0">
      <pane ySplit="1" topLeftCell="A2" activePane="bottomLeft" state="frozen"/>
      <selection activeCell="J1" sqref="J1"/>
      <selection pane="bottomLeft" activeCell="S13" sqref="S13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25">
      <c r="X41" s="46"/>
    </row>
    <row r="42" spans="1:24" x14ac:dyDescent="0.25">
      <c r="H42" s="1" t="s">
        <v>178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7" sqref="C7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D5" s="1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D31" sqref="D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163</v>
      </c>
    </row>
    <row r="2" spans="1:7" s="41" customFormat="1" ht="21" x14ac:dyDescent="0.35">
      <c r="B2" s="41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v>2.7</v>
      </c>
      <c r="C6" s="12">
        <f>VLOOKUP(A6, Dataset!$A$2:$AA$100, 14, FALSE)</f>
        <v>7.6</v>
      </c>
      <c r="D6" s="12">
        <f>VLOOKUP(A6, Dataset!$A$2:$AA$100, 18, FALSE)</f>
        <v>4.2</v>
      </c>
      <c r="E6" s="12">
        <f>VLOOKUP(A6, Dataset!$A$2:$AA$100, 20, FALSE)</f>
        <v>8.9</v>
      </c>
      <c r="F6" s="8">
        <f>VLOOKUP(A6, Dataset!$A$2:$AA$100, 22, FALSE)</f>
        <v>4.2</v>
      </c>
    </row>
    <row r="7" spans="1:7" ht="15" x14ac:dyDescent="0.25">
      <c r="A7" s="7" t="s">
        <v>4</v>
      </c>
      <c r="B7" s="12">
        <v>2.7</v>
      </c>
      <c r="C7" s="12">
        <f>VLOOKUP(A7, Dataset!$A$2:$AA$100, 14, FALSE)</f>
        <v>7.6</v>
      </c>
      <c r="D7" s="12">
        <f>VLOOKUP(A7, Dataset!$A$2:$AA$100, 18, FALSE)</f>
        <v>4.2</v>
      </c>
      <c r="E7" s="12">
        <f>VLOOKUP(A7, Dataset!$A$2:$AA$100, 20, FALSE)</f>
        <v>8.9</v>
      </c>
      <c r="F7" s="8">
        <f>VLOOKUP(A7, Dataset!$A$2:$AA$100, 22, FALSE)</f>
        <v>4.2</v>
      </c>
    </row>
    <row r="8" spans="1:7" ht="15" x14ac:dyDescent="0.25">
      <c r="A8" s="7" t="s">
        <v>7</v>
      </c>
      <c r="B8" s="12">
        <v>3.6</v>
      </c>
      <c r="C8" s="12">
        <f>VLOOKUP(A8, Dataset!$A$2:$AA$100, 14, FALSE)</f>
        <v>11.1</v>
      </c>
      <c r="D8" s="12">
        <f>VLOOKUP(A8, Dataset!$A$2:$AA$100, 18, FALSE)</f>
        <v>5.8</v>
      </c>
      <c r="E8" s="12">
        <f>VLOOKUP(A8, Dataset!$A$2:$AA$100, 20, FALSE)</f>
        <v>12.2</v>
      </c>
      <c r="F8" s="8">
        <f>VLOOKUP(A8, Dataset!$A$2:$AA$100, 22, FALSE)</f>
        <v>5.8</v>
      </c>
    </row>
    <row r="9" spans="1:7" ht="15" x14ac:dyDescent="0.25">
      <c r="A9" s="7" t="s">
        <v>8</v>
      </c>
      <c r="B9" s="12">
        <v>4.9000000000000004</v>
      </c>
      <c r="C9" s="12">
        <f>VLOOKUP(A9, Dataset!$A$2:$AA$100, 14, FALSE)</f>
        <v>13.3</v>
      </c>
      <c r="D9" s="12">
        <f>VLOOKUP(A9, Dataset!$A$2:$AA$100, 18, FALSE)</f>
        <v>8.1</v>
      </c>
      <c r="E9" s="12">
        <f>VLOOKUP(A9, Dataset!$A$2:$AA$100, 20, FALSE)</f>
        <v>17</v>
      </c>
      <c r="F9" s="8">
        <f>VLOOKUP(A9, Dataset!$A$2:$AA$100, 22, FALSE)</f>
        <v>8.1</v>
      </c>
    </row>
    <row r="10" spans="1:7" ht="15" x14ac:dyDescent="0.25">
      <c r="A10" s="7" t="s">
        <v>11</v>
      </c>
      <c r="B10" s="12">
        <v>9.4</v>
      </c>
      <c r="C10" s="12">
        <f>VLOOKUP(A10, Dataset!$A$2:$AA$100, 14, FALSE)</f>
        <v>28.3</v>
      </c>
      <c r="D10" s="12">
        <f>VLOOKUP(A10, Dataset!$A$2:$AA$100, 18, FALSE)</f>
        <v>16.100000000000001</v>
      </c>
      <c r="E10" s="12">
        <f>VLOOKUP(A10, Dataset!$A$2:$AA$100, 20, FALSE)</f>
        <v>32.799999999999997</v>
      </c>
      <c r="F10" s="8">
        <f>VLOOKUP(A10, Dataset!$A$2:$AA$100, 22, FALSE)</f>
        <v>16.100000000000001</v>
      </c>
    </row>
    <row r="11" spans="1:7" ht="15" x14ac:dyDescent="0.25">
      <c r="A11" s="7" t="s">
        <v>12</v>
      </c>
      <c r="B11" s="12">
        <v>11.6</v>
      </c>
      <c r="C11" s="12">
        <f>VLOOKUP(A11, Dataset!$A$2:$AA$100, 14, FALSE)</f>
        <v>35.200000000000003</v>
      </c>
      <c r="D11" s="12">
        <f>VLOOKUP(A11, Dataset!$A$2:$AA$100, 18, FALSE)</f>
        <v>21.3</v>
      </c>
      <c r="E11" s="12">
        <f>VLOOKUP(A11, Dataset!$A$2:$AA$100, 20, FALSE)</f>
        <v>43</v>
      </c>
      <c r="F11" s="8">
        <f>VLOOKUP(A11, Dataset!$A$2:$AA$100, 22, FALSE)</f>
        <v>21.3</v>
      </c>
    </row>
    <row r="12" spans="1:7" ht="15" x14ac:dyDescent="0.25">
      <c r="A12" s="7" t="s">
        <v>14</v>
      </c>
      <c r="B12" s="12">
        <v>18.399999999999999</v>
      </c>
      <c r="C12" s="12">
        <f>VLOOKUP(A12, Dataset!$A$2:$AA$100, 14, FALSE)</f>
        <v>55.6</v>
      </c>
      <c r="D12" s="12">
        <f>VLOOKUP(A12, Dataset!$A$2:$AA$100, 18, FALSE)</f>
        <v>33.799999999999997</v>
      </c>
      <c r="E12" s="12">
        <f>VLOOKUP(A12, Dataset!$A$2:$AA$100, 20, FALSE)</f>
        <v>67.900000000000006</v>
      </c>
      <c r="F12" s="8">
        <f>VLOOKUP(A12, Dataset!$A$2:$AA$100, 22, FALSE)</f>
        <v>33.799999999999997</v>
      </c>
    </row>
    <row r="13" spans="1:7" ht="15" x14ac:dyDescent="0.25">
      <c r="A13" s="7" t="s">
        <v>15</v>
      </c>
      <c r="B13" s="12">
        <v>0</v>
      </c>
      <c r="C13" s="12">
        <f>VLOOKUP(A13, Dataset!$A$2:$AA$100, 14, FALSE)</f>
        <v>0</v>
      </c>
      <c r="D13" s="12">
        <f>VLOOKUP(A13, Dataset!$A$2:$AA$100, 18, FALSE)</f>
        <v>0</v>
      </c>
      <c r="E13" s="12">
        <f>VLOOKUP(A13, Dataset!$A$2:$AA$100, 20, FALSE)</f>
        <v>0</v>
      </c>
      <c r="F13" s="8">
        <f>VLOOKUP(A13, Dataset!$A$2:$AA$100, 22, FALSE)</f>
        <v>0</v>
      </c>
    </row>
    <row r="14" spans="1:7" ht="15" x14ac:dyDescent="0.25">
      <c r="A14" s="7" t="s">
        <v>16</v>
      </c>
      <c r="B14" s="12">
        <v>21.9</v>
      </c>
      <c r="C14" s="12">
        <f>VLOOKUP(A14, Dataset!$A$2:$AA$100, 14, FALSE)</f>
        <v>61.5</v>
      </c>
      <c r="D14" s="12">
        <f>VLOOKUP(A14, Dataset!$A$2:$AA$100, 18, FALSE)</f>
        <v>40.1</v>
      </c>
      <c r="E14" s="12">
        <f>VLOOKUP(A14, Dataset!$A$2:$AA$100, 20, FALSE)</f>
        <v>76.599999999999994</v>
      </c>
      <c r="F14" s="8">
        <f>VLOOKUP(A14, Dataset!$A$2:$AA$100, 22, FALSE)</f>
        <v>40.1</v>
      </c>
    </row>
    <row r="15" spans="1:7" ht="15" x14ac:dyDescent="0.25">
      <c r="A15" s="7" t="s">
        <v>18</v>
      </c>
      <c r="B15" s="12">
        <v>26.8</v>
      </c>
      <c r="C15" s="12">
        <f>VLOOKUP(A15, Dataset!$A$2:$AA$100, 14, FALSE)</f>
        <v>79.599999999999994</v>
      </c>
      <c r="D15" s="12">
        <f>VLOOKUP(A15, Dataset!$A$2:$AA$100, 18, FALSE)</f>
        <v>47.9</v>
      </c>
      <c r="E15" s="12">
        <f>VLOOKUP(A15, Dataset!$A$2:$AA$100, 20, FALSE)</f>
        <v>96.8</v>
      </c>
      <c r="F15" s="8">
        <f>VLOOKUP(A15, Dataset!$A$2:$AA$100, 22, FALSE)</f>
        <v>47.9</v>
      </c>
    </row>
    <row r="16" spans="1:7" ht="15" x14ac:dyDescent="0.25">
      <c r="A16" s="7" t="s">
        <v>20</v>
      </c>
      <c r="B16" s="12">
        <f>VLOOKUP(A16, Dataset!$A$2:$AA$100, 7, FALSE)</f>
        <v>28.5</v>
      </c>
      <c r="C16" s="12">
        <f>VLOOKUP(A16, Dataset!$A$2:$AA$100, 14, FALSE)</f>
        <v>85.4</v>
      </c>
      <c r="D16" s="12">
        <f>VLOOKUP(A16, Dataset!$A$2:$AA$100, 18, FALSE)</f>
        <v>52.3</v>
      </c>
      <c r="E16" s="12">
        <f>VLOOKUP(A16, Dataset!$A$2:$AA$100, 20, FALSE)</f>
        <v>106.1</v>
      </c>
      <c r="F16" s="8">
        <f>VLOOKUP(A17, Dataset!$A$2:$AA$100, 22, FALSE)</f>
        <v>57</v>
      </c>
    </row>
    <row r="17" spans="1:6" ht="15" x14ac:dyDescent="0.25">
      <c r="A17" s="7" t="s">
        <v>22</v>
      </c>
      <c r="B17" s="12">
        <f>VLOOKUP(A17, Dataset!$A$2:$AA$100, 7, FALSE)</f>
        <v>30.7</v>
      </c>
      <c r="C17" s="12">
        <f>VLOOKUP(A17, Dataset!$A$2:$AA$100, 14, FALSE)</f>
        <v>92.1</v>
      </c>
      <c r="D17" s="12">
        <f>VLOOKUP(A17, Dataset!$A$2:$AA$100, 18, FALSE)</f>
        <v>57</v>
      </c>
      <c r="E17" s="12">
        <f>VLOOKUP(A17, Dataset!$A$2:$AA$100, 20, FALSE)</f>
        <v>115.1</v>
      </c>
      <c r="F17" s="8">
        <f>VLOOKUP(A18, Dataset!$A$2:$AA$100, 22, FALSE)</f>
        <v>61.4</v>
      </c>
    </row>
    <row r="18" spans="1:6" ht="15" x14ac:dyDescent="0.25">
      <c r="A18" s="7" t="s">
        <v>23</v>
      </c>
      <c r="B18" s="12">
        <f>VLOOKUP(A18, Dataset!$A$2:$AA$100, 7, FALSE)</f>
        <v>33.799999999999997</v>
      </c>
      <c r="C18" s="12">
        <f>VLOOKUP(A18, Dataset!$A$2:$AA$100, 14, FALSE)</f>
        <v>101.3</v>
      </c>
      <c r="D18" s="12">
        <f>VLOOKUP(A18, Dataset!$A$2:$AA$100, 18, FALSE)</f>
        <v>61.4</v>
      </c>
      <c r="E18" s="12">
        <f>VLOOKUP(A18, Dataset!$A$2:$AA$100, 20, FALSE)</f>
        <v>124.4</v>
      </c>
      <c r="F18" s="8">
        <f>VLOOKUP(A19, Dataset!$A$2:$AA$100, 22, FALSE)</f>
        <v>63.6</v>
      </c>
    </row>
    <row r="19" spans="1:6" ht="15" x14ac:dyDescent="0.25">
      <c r="A19" s="7" t="s">
        <v>24</v>
      </c>
      <c r="B19" s="12">
        <f>VLOOKUP(A19, Dataset!$A$2:$AA$100, 7, FALSE)</f>
        <v>34.700000000000003</v>
      </c>
      <c r="C19" s="12">
        <f>VLOOKUP(A19, Dataset!$A$2:$AA$100, 14, FALSE)</f>
        <v>106.1</v>
      </c>
      <c r="D19" s="12">
        <f>VLOOKUP(A19, Dataset!$A$2:$AA$100, 18, FALSE)</f>
        <v>63.6</v>
      </c>
      <c r="E19" s="12">
        <f>VLOOKUP(A19, Dataset!$A$2:$AA$100, 20, FALSE)</f>
        <v>128.6</v>
      </c>
      <c r="F19" s="8">
        <f>VLOOKUP(A20, Dataset!$A$2:$AA$100, 22, FALSE)</f>
        <v>0</v>
      </c>
    </row>
    <row r="20" spans="1:6" ht="15" x14ac:dyDescent="0.25">
      <c r="A20" s="7" t="s">
        <v>28</v>
      </c>
      <c r="B20" s="12">
        <f>VLOOKUP(A20, Dataset!$A$2:$AA$100, 7, FALSE)</f>
        <v>0</v>
      </c>
      <c r="C20" s="12">
        <f>VLOOKUP(A20, Dataset!$A$2:$AA$100, 14, FALSE)</f>
        <v>0</v>
      </c>
      <c r="D20" s="12">
        <f>VLOOKUP(A20, Dataset!$A$2:$AA$100, 18, FALSE)</f>
        <v>0</v>
      </c>
      <c r="E20" s="12">
        <f>VLOOKUP(A20, Dataset!$A$2:$AA$100, 20, FALSE)</f>
        <v>0</v>
      </c>
      <c r="F20" s="8">
        <f>VLOOKUP(A21, Dataset!$A$2:$AA$100, 22, FALSE)</f>
        <v>75</v>
      </c>
    </row>
    <row r="21" spans="1:6" ht="15" x14ac:dyDescent="0.25">
      <c r="A21" s="7" t="s">
        <v>57</v>
      </c>
      <c r="B21" s="12">
        <f>VLOOKUP(A21, Dataset!$A$2:$AA$100, 7, FALSE)</f>
        <v>41.3</v>
      </c>
      <c r="C21" s="12">
        <f>VLOOKUP(A21, Dataset!$A$2:$AA$100, 14, FALSE)</f>
        <v>124.4</v>
      </c>
      <c r="D21" s="12">
        <f>VLOOKUP(A21, Dataset!$A$2:$AA$100, 18, FALSE)</f>
        <v>75</v>
      </c>
      <c r="E21" s="12">
        <f>VLOOKUP(A21, Dataset!$A$2:$AA$100, 20, FALSE)</f>
        <v>151.5</v>
      </c>
      <c r="F21" s="8">
        <f>VLOOKUP(A22, Dataset!$A$2:$AA$100, 22, FALSE)</f>
        <v>-1</v>
      </c>
    </row>
    <row r="22" spans="1:6" ht="15" x14ac:dyDescent="0.25">
      <c r="A22" s="7" t="s">
        <v>58</v>
      </c>
      <c r="B22" s="12">
        <f>VLOOKUP(A22, Dataset!$A$2:$AA$100, 7, FALSE)</f>
        <v>-1</v>
      </c>
      <c r="C22" s="12">
        <f>VLOOKUP(A22, Dataset!$A$2:$AA$100, 14, FALSE)</f>
        <v>-1</v>
      </c>
      <c r="D22" s="12">
        <f>VLOOKUP(A22, Dataset!$A$2:$AA$100, 18, FALSE)</f>
        <v>-1</v>
      </c>
      <c r="E22" s="12">
        <f>VLOOKUP(A22, Dataset!$A$2:$AA$100, 20, FALSE)</f>
        <v>-1</v>
      </c>
      <c r="F22" s="8">
        <f>VLOOKUP(A23, Dataset!$A$2:$AA$100, 22, FALSE)</f>
        <v>79.400000000000006</v>
      </c>
    </row>
    <row r="23" spans="1:6" ht="15" x14ac:dyDescent="0.25">
      <c r="A23" s="7" t="s">
        <v>31</v>
      </c>
      <c r="B23" s="12">
        <f>VLOOKUP(A23, Dataset!$A$2:$AA$100, 7, FALSE)</f>
        <v>45</v>
      </c>
      <c r="C23" s="12">
        <f>VLOOKUP(A23, Dataset!$A$2:$AA$100, 14, FALSE)</f>
        <v>133.4</v>
      </c>
      <c r="D23" s="12">
        <f>VLOOKUP(A23, Dataset!$A$2:$AA$100, 18, FALSE)</f>
        <v>79.400000000000006</v>
      </c>
      <c r="E23" s="12">
        <f>VLOOKUP(A23, Dataset!$A$2:$AA$100, 20, FALSE)</f>
        <v>160.9</v>
      </c>
      <c r="F23" s="8">
        <f>VLOOKUP(A24, Dataset!$A$2:$AA$100, 22, FALSE)</f>
        <v>-1</v>
      </c>
    </row>
    <row r="24" spans="1:6" ht="15" x14ac:dyDescent="0.25">
      <c r="A24" s="7" t="s">
        <v>32</v>
      </c>
      <c r="B24" s="12">
        <f>VLOOKUP(A24, Dataset!$A$2:$AA$100, 7, FALSE)</f>
        <v>-1</v>
      </c>
      <c r="C24" s="12">
        <f>VLOOKUP(A24, Dataset!$A$2:$AA$100, 14, FALSE)</f>
        <v>-1</v>
      </c>
      <c r="D24" s="12">
        <f>VLOOKUP(A24, Dataset!$A$2:$AA$100, 18, FALSE)</f>
        <v>-1</v>
      </c>
      <c r="E24" s="12">
        <f>VLOOKUP(A24, Dataset!$A$2:$AA$100, 20, FALSE)</f>
        <v>-1</v>
      </c>
      <c r="F24" s="8">
        <f>VLOOKUP(A25, Dataset!$A$2:$AA$100, 22, FALSE)</f>
        <v>79.400000000000006</v>
      </c>
    </row>
    <row r="25" spans="1:6" ht="15" x14ac:dyDescent="0.25">
      <c r="A25" s="7" t="s">
        <v>34</v>
      </c>
      <c r="B25" s="12">
        <f>VLOOKUP(A25, Dataset!$A$2:$AA$100, 7, FALSE)</f>
        <v>43.3</v>
      </c>
      <c r="C25" s="12">
        <f>VLOOKUP(A25, Dataset!$A$2:$AA$100, 14, FALSE)</f>
        <v>128.6</v>
      </c>
      <c r="D25" s="12">
        <f>VLOOKUP(A25, Dataset!$A$2:$AA$100, 18, FALSE)</f>
        <v>79.400000000000006</v>
      </c>
      <c r="E25" s="12">
        <f>VLOOKUP(A25, Dataset!$A$2:$AA$100, 20, FALSE)</f>
        <v>160.9</v>
      </c>
      <c r="F25" s="8">
        <f>VLOOKUP(A26, Dataset!$A$2:$AA$100, 22, FALSE)</f>
        <v>90.9</v>
      </c>
    </row>
    <row r="26" spans="1:6" ht="15" x14ac:dyDescent="0.25">
      <c r="A26" s="7" t="s">
        <v>37</v>
      </c>
      <c r="B26" s="12">
        <f>VLOOKUP(A26, Dataset!$A$2:$AA$100, 7, FALSE)</f>
        <v>49.1</v>
      </c>
      <c r="C26" s="12">
        <f>VLOOKUP(A26, Dataset!$A$2:$AA$100, 14, FALSE)</f>
        <v>146.80000000000001</v>
      </c>
      <c r="D26" s="12">
        <f>VLOOKUP(A26, Dataset!$A$2:$AA$100, 18, FALSE)</f>
        <v>90.9</v>
      </c>
      <c r="E26" s="12">
        <f>VLOOKUP(A26, Dataset!$A$2:$AA$100, 20, FALSE)</f>
        <v>183.5</v>
      </c>
      <c r="F26" s="8">
        <f>VLOOKUP(A27, Dataset!$A$2:$AA$100, 22, FALSE)</f>
        <v>93.1</v>
      </c>
    </row>
    <row r="27" spans="1:6" ht="15" x14ac:dyDescent="0.25">
      <c r="A27" s="7" t="s">
        <v>39</v>
      </c>
      <c r="B27" s="12">
        <f>VLOOKUP(A27, Dataset!$A$2:$AA$100, 7, FALSE)</f>
        <v>51.8</v>
      </c>
      <c r="C27" s="12">
        <f>VLOOKUP(A27, Dataset!$A$2:$AA$100, 14, FALSE)</f>
        <v>156.4</v>
      </c>
      <c r="D27" s="12">
        <f>VLOOKUP(A27, Dataset!$A$2:$AA$100, 18, FALSE)</f>
        <v>93.1</v>
      </c>
      <c r="E27" s="12">
        <f>VLOOKUP(A27, Dataset!$A$2:$AA$100, 20, FALSE)</f>
        <v>188.1</v>
      </c>
      <c r="F27" s="8">
        <f>VLOOKUP(A27, Dataset!$A$2:$AA$100, 22, 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v>-1</v>
      </c>
      <c r="E28" s="31">
        <v>-1</v>
      </c>
      <c r="F28" s="31"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MAX(E2:E27)</f>
        <v>188.1</v>
      </c>
      <c r="F29" s="31">
        <f>MAX(F6:F27)</f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39.654545454545456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1" zoomScaleNormal="100" workbookViewId="0">
      <selection activeCell="H32" sqref="H32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152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164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F22" sqref="F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166</v>
      </c>
    </row>
    <row r="2" spans="1:3" ht="18.75" x14ac:dyDescent="0.3">
      <c r="B2" s="40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 t="s">
        <v>179</v>
      </c>
    </row>
    <row r="7" spans="1:3" ht="15" x14ac:dyDescent="0.25">
      <c r="A7" s="3" t="s">
        <v>152</v>
      </c>
      <c r="B7" s="1" t="s">
        <v>180</v>
      </c>
    </row>
    <row r="10" spans="1:3" ht="23.25" x14ac:dyDescent="0.35">
      <c r="A10" s="18" t="s">
        <v>161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153</v>
      </c>
      <c r="C17" s="17">
        <v>150</v>
      </c>
    </row>
    <row r="18" spans="1:3" ht="15" x14ac:dyDescent="0.25">
      <c r="A18" s="32">
        <v>44933</v>
      </c>
      <c r="B18" s="17" t="s">
        <v>154</v>
      </c>
      <c r="C18" s="17">
        <v>80</v>
      </c>
    </row>
    <row r="19" spans="1:3" ht="15" x14ac:dyDescent="0.25">
      <c r="A19" s="32">
        <v>44934</v>
      </c>
      <c r="B19" s="17" t="s">
        <v>155</v>
      </c>
      <c r="C19" s="17" t="e">
        <v>#N/A</v>
      </c>
    </row>
    <row r="20" spans="1:3" ht="15" x14ac:dyDescent="0.25">
      <c r="A20" s="32">
        <v>44935</v>
      </c>
      <c r="B20" s="17" t="s">
        <v>156</v>
      </c>
      <c r="C20" s="17">
        <v>30</v>
      </c>
    </row>
    <row r="21" spans="1:3" ht="15" x14ac:dyDescent="0.25">
      <c r="A21" s="32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25">
        <f>SUMIF(C12:C21,"&lt;&gt;#N/A",C12:C21) + COUNTIF(C12:C21,"#N/A") 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4" zoomScaleNormal="100" workbookViewId="0">
      <selection activeCell="H29" sqref="H29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174</v>
      </c>
    </row>
    <row r="3" spans="1:14" ht="15" x14ac:dyDescent="0.25">
      <c r="B3" s="1" t="s">
        <v>150</v>
      </c>
    </row>
    <row r="4" spans="1:14" ht="18.75" x14ac:dyDescent="0.3">
      <c r="A4" s="43" t="s">
        <v>53</v>
      </c>
      <c r="B4" s="1"/>
      <c r="C4" s="2" t="s">
        <v>181</v>
      </c>
    </row>
    <row r="5" spans="1:14" ht="18.75" x14ac:dyDescent="0.3">
      <c r="A5" s="43" t="s">
        <v>152</v>
      </c>
      <c r="B5" s="1"/>
      <c r="C5" s="2" t="s">
        <v>182</v>
      </c>
    </row>
    <row r="6" spans="1:14" ht="15" x14ac:dyDescent="0.25">
      <c r="A6" s="3"/>
      <c r="B6" s="1"/>
      <c r="C6" s="2" t="s">
        <v>183</v>
      </c>
    </row>
    <row r="7" spans="1:14" x14ac:dyDescent="0.2">
      <c r="C7" s="2" t="s">
        <v>184</v>
      </c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v>95</v>
      </c>
    </row>
    <row r="24" spans="1:14" ht="15" x14ac:dyDescent="0.25">
      <c r="A24" s="7">
        <v>10100</v>
      </c>
      <c r="B24" s="12">
        <v>10104</v>
      </c>
      <c r="C24" s="44">
        <v>-1</v>
      </c>
    </row>
    <row r="25" spans="1:14" ht="15" x14ac:dyDescent="0.25">
      <c r="A25" s="7">
        <v>10108</v>
      </c>
      <c r="B25" s="12">
        <v>10102</v>
      </c>
      <c r="C25" s="44">
        <v>160</v>
      </c>
    </row>
    <row r="26" spans="1:14" ht="15" x14ac:dyDescent="0.25">
      <c r="A26" s="7">
        <v>10100</v>
      </c>
      <c r="B26" s="12">
        <v>10106</v>
      </c>
      <c r="C26" s="44">
        <v>185</v>
      </c>
    </row>
    <row r="27" spans="1:14" ht="15" x14ac:dyDescent="0.25">
      <c r="A27" s="7">
        <v>10108</v>
      </c>
      <c r="B27" s="12">
        <v>10110</v>
      </c>
      <c r="C27" s="49">
        <v>50</v>
      </c>
    </row>
    <row r="28" spans="1:14" ht="15" x14ac:dyDescent="0.25">
      <c r="A28" s="7">
        <v>10102</v>
      </c>
      <c r="B28" s="12">
        <v>10104</v>
      </c>
      <c r="C28" s="44">
        <v>-1</v>
      </c>
    </row>
    <row r="29" spans="1:14" ht="15" x14ac:dyDescent="0.25">
      <c r="A29" s="7">
        <v>10106</v>
      </c>
      <c r="B29" s="12">
        <v>10108</v>
      </c>
      <c r="C29" s="44">
        <v>70</v>
      </c>
    </row>
    <row r="30" spans="1:14" ht="15" x14ac:dyDescent="0.25">
      <c r="A30" s="7">
        <v>10102</v>
      </c>
      <c r="B30" s="12">
        <v>10106</v>
      </c>
      <c r="C30" s="44">
        <v>90</v>
      </c>
    </row>
    <row r="31" spans="1:14" ht="15" x14ac:dyDescent="0.25">
      <c r="A31" s="7">
        <v>10110</v>
      </c>
      <c r="B31" s="12">
        <v>10114</v>
      </c>
      <c r="C31" s="44">
        <v>65</v>
      </c>
    </row>
    <row r="32" spans="1:14" ht="15" x14ac:dyDescent="0.25">
      <c r="A32" s="7">
        <v>10104</v>
      </c>
      <c r="B32" s="12">
        <v>10106</v>
      </c>
      <c r="C32" s="44">
        <v>60</v>
      </c>
    </row>
    <row r="33" spans="1:3" ht="15" x14ac:dyDescent="0.25">
      <c r="A33" s="7">
        <v>10110</v>
      </c>
      <c r="B33" s="12">
        <v>10112</v>
      </c>
      <c r="C33" s="44">
        <v>115</v>
      </c>
    </row>
    <row r="34" spans="1:3" ht="15" x14ac:dyDescent="0.25">
      <c r="A34" s="7">
        <v>10100</v>
      </c>
      <c r="B34" s="12">
        <v>10114</v>
      </c>
      <c r="C34" s="44">
        <v>480</v>
      </c>
    </row>
    <row r="35" spans="1:3" ht="15" x14ac:dyDescent="0.25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2024-10-24T11:12:27Z</dcterms:modified>
</cp:coreProperties>
</file>